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YECTO_RED_NEURONAL_CONVOLUCIONAL\Classification-of-Venomous-and-non-venomous-snakes\data\external_tests\manual_30_species_region\"/>
    </mc:Choice>
  </mc:AlternateContent>
  <xr:revisionPtr revIDLastSave="0" documentId="13_ncr:1_{2EDC93CD-CB97-4F04-B614-57CFC789819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" sheetId="1" r:id="rId1"/>
    <sheet name="Prueba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C9" i="3"/>
  <c r="B9" i="3"/>
  <c r="D8" i="3"/>
  <c r="C8" i="3"/>
  <c r="B8" i="3"/>
  <c r="C6" i="3"/>
  <c r="D4" i="3"/>
  <c r="D7" i="3" s="1"/>
  <c r="C4" i="3"/>
  <c r="C7" i="3" s="1"/>
  <c r="B4" i="3"/>
  <c r="B7" i="3" s="1"/>
  <c r="T31" i="2"/>
  <c r="O31" i="2"/>
  <c r="K31" i="2"/>
  <c r="T30" i="2"/>
  <c r="O30" i="2"/>
  <c r="K30" i="2"/>
  <c r="T29" i="2"/>
  <c r="O29" i="2"/>
  <c r="K29" i="2"/>
  <c r="T28" i="2"/>
  <c r="O28" i="2"/>
  <c r="K28" i="2"/>
  <c r="T27" i="2"/>
  <c r="D6" i="3" s="1"/>
  <c r="O27" i="2"/>
  <c r="K27" i="2"/>
  <c r="T26" i="2"/>
  <c r="O26" i="2"/>
  <c r="K26" i="2"/>
  <c r="T25" i="2"/>
  <c r="O25" i="2"/>
  <c r="K25" i="2"/>
  <c r="T24" i="2"/>
  <c r="O24" i="2"/>
  <c r="K24" i="2"/>
  <c r="T23" i="2"/>
  <c r="O23" i="2"/>
  <c r="K23" i="2"/>
  <c r="T22" i="2"/>
  <c r="O22" i="2"/>
  <c r="K22" i="2"/>
  <c r="T21" i="2"/>
  <c r="O21" i="2"/>
  <c r="K21" i="2"/>
  <c r="T20" i="2"/>
  <c r="O20" i="2"/>
  <c r="K20" i="2"/>
  <c r="T19" i="2"/>
  <c r="O19" i="2"/>
  <c r="K19" i="2"/>
  <c r="T18" i="2"/>
  <c r="O18" i="2"/>
  <c r="K18" i="2"/>
  <c r="T17" i="2"/>
  <c r="O17" i="2"/>
  <c r="K17" i="2"/>
  <c r="T16" i="2"/>
  <c r="O16" i="2"/>
  <c r="K16" i="2"/>
  <c r="T15" i="2"/>
  <c r="O15" i="2"/>
  <c r="K15" i="2"/>
  <c r="T14" i="2"/>
  <c r="O14" i="2"/>
  <c r="K14" i="2"/>
  <c r="T13" i="2"/>
  <c r="O13" i="2"/>
  <c r="K13" i="2"/>
  <c r="T12" i="2"/>
  <c r="O12" i="2"/>
  <c r="K12" i="2"/>
  <c r="T11" i="2"/>
  <c r="O11" i="2"/>
  <c r="K11" i="2"/>
  <c r="T10" i="2"/>
  <c r="O10" i="2"/>
  <c r="K10" i="2"/>
  <c r="T9" i="2"/>
  <c r="O9" i="2"/>
  <c r="K9" i="2"/>
  <c r="T8" i="2"/>
  <c r="O8" i="2"/>
  <c r="K8" i="2"/>
  <c r="T7" i="2"/>
  <c r="O7" i="2"/>
  <c r="K7" i="2"/>
  <c r="T6" i="2"/>
  <c r="O6" i="2"/>
  <c r="K6" i="2"/>
  <c r="T5" i="2"/>
  <c r="O5" i="2"/>
  <c r="K5" i="2"/>
  <c r="T4" i="2"/>
  <c r="O4" i="2"/>
  <c r="K4" i="2"/>
  <c r="T3" i="2"/>
  <c r="O3" i="2"/>
  <c r="K3" i="2"/>
  <c r="T2" i="2"/>
  <c r="D5" i="3" s="1"/>
  <c r="O2" i="2"/>
  <c r="C5" i="3" s="1"/>
  <c r="K2" i="2"/>
  <c r="B6" i="3" s="1"/>
  <c r="B5" i="3" l="1"/>
</calcChain>
</file>

<file path=xl/sharedStrings.xml><?xml version="1.0" encoding="utf-8"?>
<sst xmlns="http://schemas.openxmlformats.org/spreadsheetml/2006/main" count="287" uniqueCount="210">
  <si>
    <t>Prueba externa organizada - clasificador de serpientes</t>
  </si>
  <si>
    <t>Paso</t>
  </si>
  <si>
    <t>Que hacer</t>
  </si>
  <si>
    <t>Donde</t>
  </si>
  <si>
    <t>Que copiar</t>
  </si>
  <si>
    <t>Criterio</t>
  </si>
  <si>
    <t>Nota</t>
  </si>
  <si>
    <t>Abrir Streamlit</t>
  </si>
  <si>
    <t>http://localhost:8501/</t>
  </si>
  <si>
    <t>No aplica</t>
  </si>
  <si>
    <t>App visible sin errores</t>
  </si>
  <si>
    <t>Usar piloto de 50 especies para esta prueba.</t>
  </si>
  <si>
    <t>Cargar imagen</t>
  </si>
  <si>
    <t>Carpeta Venomous o Non_Venomous</t>
  </si>
  <si>
    <t>Ruta de imagen</t>
  </si>
  <si>
    <t>Una imagen por fila</t>
  </si>
  <si>
    <t>Las rutas estan en la hoja Pruebas.</t>
  </si>
  <si>
    <t>Probar sin pais</t>
  </si>
  <si>
    <t>Desplegable Pais disponible</t>
  </si>
  <si>
    <t>Sin pais/region</t>
  </si>
  <si>
    <t>Copiar especie/riesgo/confianza</t>
  </si>
  <si>
    <t>Llenar columnas H a J.</t>
  </si>
  <si>
    <t>Probar con pais correcto</t>
  </si>
  <si>
    <t>Pais sugerido de la fila</t>
  </si>
  <si>
    <t>Pais correcto</t>
  </si>
  <si>
    <t>Llenar columnas L a N.</t>
  </si>
  <si>
    <t>Probar con pais incorrecto</t>
  </si>
  <si>
    <t>Elegir otro pais del desplegable</t>
  </si>
  <si>
    <t>Pais usado</t>
  </si>
  <si>
    <t>Llenar columnas P a S.</t>
  </si>
  <si>
    <t>Interpretar resultados</t>
  </si>
  <si>
    <t>Hoja Resumen</t>
  </si>
  <si>
    <t>Comparar aciertos y falsos negativos</t>
  </si>
  <si>
    <t>Lo importante es reducir Venomous -&gt; Non Venomous.</t>
  </si>
  <si>
    <t>Anotar fallos</t>
  </si>
  <si>
    <t>Columna Observaciones</t>
  </si>
  <si>
    <t>Motivo visual</t>
  </si>
  <si>
    <t>Camuflaje, fondo, mala region, especie parecida</t>
  </si>
  <si>
    <t>Esto guia la siguiente mejora.</t>
  </si>
  <si>
    <t>id</t>
  </si>
  <si>
    <t>image_path</t>
  </si>
  <si>
    <t>true_class</t>
  </si>
  <si>
    <t>scientific_name</t>
  </si>
  <si>
    <t>common_name</t>
  </si>
  <si>
    <t>country_for_test</t>
  </si>
  <si>
    <t>test_status</t>
  </si>
  <si>
    <t>sin_pais_species</t>
  </si>
  <si>
    <t>sin_pais_risk</t>
  </si>
  <si>
    <t>sin_pais_confidence</t>
  </si>
  <si>
    <t>sin_pais_ok</t>
  </si>
  <si>
    <t>pais_correcto_species</t>
  </si>
  <si>
    <t>pais_correcto_risk</t>
  </si>
  <si>
    <t>pais_correcto_confidence</t>
  </si>
  <si>
    <t>pais_correcto_ok</t>
  </si>
  <si>
    <t>pais_incorrecto_usado</t>
  </si>
  <si>
    <t>pais_incorrecto_species</t>
  </si>
  <si>
    <t>pais_incorrecto_risk</t>
  </si>
  <si>
    <t>pais_incorrecto_confidence</t>
  </si>
  <si>
    <t>pais_incorrecto_ok</t>
  </si>
  <si>
    <t>binary_decision</t>
  </si>
  <si>
    <t>binary_p_venomous</t>
  </si>
  <si>
    <t>visual_issue</t>
  </si>
  <si>
    <t>observaciones</t>
  </si>
  <si>
    <t>01</t>
  </si>
  <si>
    <t>data\external_tests\manual_30_species_region\Venomous\01_Venomous_Agkistrodon_contortrix.jpg</t>
  </si>
  <si>
    <t>Venomous</t>
  </si>
  <si>
    <t>Agkistrodon contortrix</t>
  </si>
  <si>
    <t>Copperhead</t>
  </si>
  <si>
    <t>United States of America</t>
  </si>
  <si>
    <t>Pendiente</t>
  </si>
  <si>
    <t>02</t>
  </si>
  <si>
    <t>data\external_tests\manual_30_species_region\Venomous\02_Venomous_Agkistrodon_piscivorus.jpg</t>
  </si>
  <si>
    <t>Agkistrodon piscivorus</t>
  </si>
  <si>
    <t>Cottonmouth</t>
  </si>
  <si>
    <t>03</t>
  </si>
  <si>
    <t>data\external_tests\manual_30_species_region\Venomous\03_Venomous_Austrelaps_superbus.jpg</t>
  </si>
  <si>
    <t>Austrelaps superbus</t>
  </si>
  <si>
    <t>Lowland copperhead</t>
  </si>
  <si>
    <t>Australia</t>
  </si>
  <si>
    <t>04</t>
  </si>
  <si>
    <t>data\external_tests\manual_30_species_region\Venomous\04_Venomous_Bitis_arietans.jpg</t>
  </si>
  <si>
    <t>Bitis arietans</t>
  </si>
  <si>
    <t>Puff adder</t>
  </si>
  <si>
    <t>Namibia</t>
  </si>
  <si>
    <t>05</t>
  </si>
  <si>
    <t>data\external_tests\manual_30_species_region\Venomous\05_Venomous_Bitis_gabonica.jpg</t>
  </si>
  <si>
    <t>Bitis gabonica</t>
  </si>
  <si>
    <t>Gaboon viper</t>
  </si>
  <si>
    <t>Angola</t>
  </si>
  <si>
    <t>06</t>
  </si>
  <si>
    <t>data\external_tests\manual_30_species_region\Venomous\06_Venomous_Bothriechis_schlegelii.jpg</t>
  </si>
  <si>
    <t>Bothriechis schlegelii</t>
  </si>
  <si>
    <t>Eyelash palm pitviper</t>
  </si>
  <si>
    <t>Colombia</t>
  </si>
  <si>
    <t>07</t>
  </si>
  <si>
    <t>data\external_tests\manual_30_species_region\Venomous\07_Venomous_Bothrops_asper.jpg</t>
  </si>
  <si>
    <t>Bothrops asper</t>
  </si>
  <si>
    <t>Fer-de-lance</t>
  </si>
  <si>
    <t>Costa Rica</t>
  </si>
  <si>
    <t>08</t>
  </si>
  <si>
    <t>data\external_tests\manual_30_species_region\Venomous\08_Venomous_Bothrops_atrox.jpg</t>
  </si>
  <si>
    <t>Bothrops atrox</t>
  </si>
  <si>
    <t>Common lancehead</t>
  </si>
  <si>
    <t>Bolivia</t>
  </si>
  <si>
    <t>09</t>
  </si>
  <si>
    <t>data\external_tests\manual_30_species_region\Venomous\09_Venomous_Crotalus_cerastes.jpg</t>
  </si>
  <si>
    <t>Crotalus cerastes</t>
  </si>
  <si>
    <t>Sidewinder</t>
  </si>
  <si>
    <t>Mexico</t>
  </si>
  <si>
    <t>10</t>
  </si>
  <si>
    <t>data\external_tests\manual_30_species_region\Venomous\10_Venomous_Crotalus_ruber.jpg</t>
  </si>
  <si>
    <t>Crotalus ruber</t>
  </si>
  <si>
    <t>Red diamond rattlesnake</t>
  </si>
  <si>
    <t>11</t>
  </si>
  <si>
    <t>data\external_tests\manual_30_species_region\Venomous\11_Venomous_Crotalus_scutulatus.jpg</t>
  </si>
  <si>
    <t>Crotalus scutulatus</t>
  </si>
  <si>
    <t>Mohave rattlesnake</t>
  </si>
  <si>
    <t>12</t>
  </si>
  <si>
    <t>data\external_tests\manual_30_species_region\Venomous\12_Venomous_Laticauda_colubrina.jpg</t>
  </si>
  <si>
    <t>Laticauda colubrina</t>
  </si>
  <si>
    <t>Yellow-lipped sea krait</t>
  </si>
  <si>
    <t>Fiji</t>
  </si>
  <si>
    <t>13</t>
  </si>
  <si>
    <t>data\external_tests\manual_30_species_region\Venomous\13_Venomous_Naja_atra.jpg</t>
  </si>
  <si>
    <t>Naja atra</t>
  </si>
  <si>
    <t>Chinese cobra</t>
  </si>
  <si>
    <t>China</t>
  </si>
  <si>
    <t>14</t>
  </si>
  <si>
    <t>data\external_tests\manual_30_species_region\Venomous\14_Venomous_Ophiophagus_hannah.jpg</t>
  </si>
  <si>
    <t>Ophiophagus hannah</t>
  </si>
  <si>
    <t>King cobra</t>
  </si>
  <si>
    <t>Vietnam</t>
  </si>
  <si>
    <t>15</t>
  </si>
  <si>
    <t>data\external_tests\manual_30_species_region\Venomous\15_Venomous_Pseudechis_australis.jpg</t>
  </si>
  <si>
    <t>Pseudechis australis</t>
  </si>
  <si>
    <t>unknown</t>
  </si>
  <si>
    <t>16</t>
  </si>
  <si>
    <t>data\external_tests\manual_30_species_region\Non_Venomous\16_Non_Venomous_Ahaetulla_nasuta.jpg</t>
  </si>
  <si>
    <t>Non Venomous</t>
  </si>
  <si>
    <t>Ahaetulla nasuta</t>
  </si>
  <si>
    <t>Green vine snake</t>
  </si>
  <si>
    <t>Sri Lanka</t>
  </si>
  <si>
    <t>17</t>
  </si>
  <si>
    <t>data\external_tests\manual_30_species_region\Non_Venomous\17_Non_Venomous_Ahaetulla_prasina.jpg</t>
  </si>
  <si>
    <t>Ahaetulla prasina</t>
  </si>
  <si>
    <t>Asian vine snake</t>
  </si>
  <si>
    <t>Burma</t>
  </si>
  <si>
    <t>18</t>
  </si>
  <si>
    <t>data\external_tests\manual_30_species_region\Non_Venomous\18_Non_Venomous_Bogertophis_subocularis.jpg</t>
  </si>
  <si>
    <t>Bogertophis subocularis</t>
  </si>
  <si>
    <t>Trans-Pecos rat snake</t>
  </si>
  <si>
    <t>19</t>
  </si>
  <si>
    <t>data\external_tests\manual_30_species_region\Non_Venomous\19_Non_Venomous_Carphophis_vermis.jpg</t>
  </si>
  <si>
    <t>Carphophis vermis</t>
  </si>
  <si>
    <t>Western worm snake</t>
  </si>
  <si>
    <t>20</t>
  </si>
  <si>
    <t>data\external_tests\manual_30_species_region\Non_Venomous\20_Non_Venomous_Cemophora_coccinea.jpg</t>
  </si>
  <si>
    <t>Cemophora coccinea</t>
  </si>
  <si>
    <t>Scarlet snake</t>
  </si>
  <si>
    <t>21</t>
  </si>
  <si>
    <t>data\external_tests\manual_30_species_region\Non_Venomous\21_Non_Venomous_Charina_bottae.jpg</t>
  </si>
  <si>
    <t>Charina bottae</t>
  </si>
  <si>
    <t>Rubber boa</t>
  </si>
  <si>
    <t>Canada</t>
  </si>
  <si>
    <t>22</t>
  </si>
  <si>
    <t>data\external_tests\manual_30_species_region\Non_Venomous\22_Non_Venomous_Contia_tenuis.jpg</t>
  </si>
  <si>
    <t>Contia tenuis</t>
  </si>
  <si>
    <t>Sharp-tailed snake</t>
  </si>
  <si>
    <t>23</t>
  </si>
  <si>
    <t>data\external_tests\manual_30_species_region\Non_Venomous\23_Non_Venomous_Corallus_caninus.jpg</t>
  </si>
  <si>
    <t>Corallus caninus</t>
  </si>
  <si>
    <t>Emerald tree boa</t>
  </si>
  <si>
    <t>24</t>
  </si>
  <si>
    <t>data\external_tests\manual_30_species_region\Non_Venomous\24_Non_Venomous_Corallus_hortulanus.jpg</t>
  </si>
  <si>
    <t>Corallus hortulanus</t>
  </si>
  <si>
    <t>Amazon tree boa</t>
  </si>
  <si>
    <t>25</t>
  </si>
  <si>
    <t>data\external_tests\manual_30_species_region\Non_Venomous\25_Non_Venomous_Lampropeltis_alterna.jpg</t>
  </si>
  <si>
    <t>Lampropeltis alterna</t>
  </si>
  <si>
    <t>Gray-banded kingsnake</t>
  </si>
  <si>
    <t>26</t>
  </si>
  <si>
    <t>data\external_tests\manual_30_species_region\Non_Venomous\26_Non_Venomous_Lampropeltis_pyromelana.jpg</t>
  </si>
  <si>
    <t>Lampropeltis pyromelana</t>
  </si>
  <si>
    <t>Sonoran mountain kingsnake</t>
  </si>
  <si>
    <t>27</t>
  </si>
  <si>
    <t>data\external_tests\manual_30_species_region\Non_Venomous\27_Non_Venomous_Lampropeltis_triangulum.jpg</t>
  </si>
  <si>
    <t>Lampropeltis triangulum</t>
  </si>
  <si>
    <t>Milk snake</t>
  </si>
  <si>
    <t>28</t>
  </si>
  <si>
    <t>data\external_tests\manual_30_species_region\Non_Venomous\28_Non_Venomous_Morelia_spilota.jpg</t>
  </si>
  <si>
    <t>Morelia spilota</t>
  </si>
  <si>
    <t>Diamond python</t>
  </si>
  <si>
    <t>29</t>
  </si>
  <si>
    <t>data\external_tests\manual_30_species_region\Non_Venomous\29_Non_Venomous_Natrix_maura.jpg</t>
  </si>
  <si>
    <t>Natrix maura</t>
  </si>
  <si>
    <t>Viperine water snake</t>
  </si>
  <si>
    <t>Algeria</t>
  </si>
  <si>
    <t>30</t>
  </si>
  <si>
    <t>data\external_tests\manual_30_species_region\Non_Venomous\30_Non_Venomous_Tantilla_gracilis.jpg</t>
  </si>
  <si>
    <t>Tantilla gracilis</t>
  </si>
  <si>
    <t>Resumen automatico de la prueba externa</t>
  </si>
  <si>
    <t>Metrica</t>
  </si>
  <si>
    <t>Sin pais</t>
  </si>
  <si>
    <t>Pais incorrecto</t>
  </si>
  <si>
    <t>Pruebas llenas</t>
  </si>
  <si>
    <t>Aciertos</t>
  </si>
  <si>
    <t>Errores</t>
  </si>
  <si>
    <t>Accuracy</t>
  </si>
  <si>
    <t>FN Venomous</t>
  </si>
  <si>
    <t>FP Non Venomous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</si>
</sst>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uebasExternas" displayName="TablaPruebasExternas" ref="A1:X31">
  <tableColumns count="24">
    <tableColumn id="1" xr3:uid="{00000000-0010-0000-0000-000001000000}" name="id"/>
    <tableColumn id="2" xr3:uid="{00000000-0010-0000-0000-000002000000}" name="image_path"/>
    <tableColumn id="3" xr3:uid="{00000000-0010-0000-0000-000003000000}" name="true_class"/>
    <tableColumn id="4" xr3:uid="{00000000-0010-0000-0000-000004000000}" name="scientific_name"/>
    <tableColumn id="5" xr3:uid="{00000000-0010-0000-0000-000005000000}" name="common_name"/>
    <tableColumn id="6" xr3:uid="{00000000-0010-0000-0000-000006000000}" name="country_for_test"/>
    <tableColumn id="7" xr3:uid="{00000000-0010-0000-0000-000007000000}" name="test_status"/>
    <tableColumn id="8" xr3:uid="{00000000-0010-0000-0000-000008000000}" name="sin_pais_species"/>
    <tableColumn id="9" xr3:uid="{00000000-0010-0000-0000-000009000000}" name="sin_pais_risk"/>
    <tableColumn id="10" xr3:uid="{00000000-0010-0000-0000-00000A000000}" name="sin_pais_confidence"/>
    <tableColumn id="11" xr3:uid="{00000000-0010-0000-0000-00000B000000}" name="sin_pais_ok"/>
    <tableColumn id="12" xr3:uid="{00000000-0010-0000-0000-00000C000000}" name="pais_correcto_species"/>
    <tableColumn id="13" xr3:uid="{00000000-0010-0000-0000-00000D000000}" name="pais_correcto_risk"/>
    <tableColumn id="14" xr3:uid="{00000000-0010-0000-0000-00000E000000}" name="pais_correcto_confidence"/>
    <tableColumn id="15" xr3:uid="{00000000-0010-0000-0000-00000F000000}" name="pais_correcto_ok"/>
    <tableColumn id="16" xr3:uid="{00000000-0010-0000-0000-000010000000}" name="pais_incorrecto_usado"/>
    <tableColumn id="17" xr3:uid="{00000000-0010-0000-0000-000011000000}" name="pais_incorrecto_species"/>
    <tableColumn id="18" xr3:uid="{00000000-0010-0000-0000-000012000000}" name="pais_incorrecto_risk"/>
    <tableColumn id="19" xr3:uid="{00000000-0010-0000-0000-000013000000}" name="pais_incorrecto_confidence"/>
    <tableColumn id="20" xr3:uid="{00000000-0010-0000-0000-000014000000}" name="pais_incorrecto_ok"/>
    <tableColumn id="21" xr3:uid="{00000000-0010-0000-0000-000015000000}" name="binary_decision"/>
    <tableColumn id="22" xr3:uid="{00000000-0010-0000-0000-000016000000}" name="binary_p_venomous"/>
    <tableColumn id="23" xr3:uid="{00000000-0010-0000-0000-000017000000}" name="visual_issue"/>
    <tableColumn id="24" xr3:uid="{00000000-0010-0000-0000-000018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E21" sqref="E21"/>
    </sheetView>
  </sheetViews>
  <sheetFormatPr baseColWidth="10" defaultColWidth="8.796875" defaultRowHeight="13.8"/>
  <cols>
    <col min="1" max="1" width="60.09765625" customWidth="1"/>
    <col min="2" max="2" width="20.09765625" customWidth="1"/>
    <col min="3" max="3" width="31.296875" bestFit="1" customWidth="1"/>
    <col min="4" max="4" width="12.09765625" customWidth="1"/>
    <col min="5" max="5" width="36.19921875" customWidth="1"/>
    <col min="6" max="6" width="41.3984375" customWidth="1"/>
  </cols>
  <sheetData>
    <row r="1" spans="1:6" ht="15.6">
      <c r="A1" s="6" t="s">
        <v>0</v>
      </c>
      <c r="B1" s="7"/>
      <c r="C1" s="7"/>
      <c r="D1" s="7"/>
      <c r="E1" s="7"/>
      <c r="F1" s="7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>
      <c r="A5" s="1">
        <v>2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</row>
    <row r="6" spans="1:6">
      <c r="A6" s="1">
        <v>3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>
      <c r="A7" s="1">
        <v>4</v>
      </c>
      <c r="B7" s="1" t="s">
        <v>22</v>
      </c>
      <c r="C7" s="1" t="s">
        <v>23</v>
      </c>
      <c r="D7" s="1" t="s">
        <v>24</v>
      </c>
      <c r="E7" s="1" t="s">
        <v>20</v>
      </c>
      <c r="F7" s="1" t="s">
        <v>25</v>
      </c>
    </row>
    <row r="8" spans="1:6">
      <c r="A8" s="1">
        <v>5</v>
      </c>
      <c r="B8" s="1" t="s">
        <v>26</v>
      </c>
      <c r="C8" s="1" t="s">
        <v>27</v>
      </c>
      <c r="D8" s="1" t="s">
        <v>28</v>
      </c>
      <c r="E8" s="1" t="s">
        <v>20</v>
      </c>
      <c r="F8" s="1" t="s">
        <v>29</v>
      </c>
    </row>
    <row r="9" spans="1:6">
      <c r="A9" s="1">
        <v>6</v>
      </c>
      <c r="B9" s="1" t="s">
        <v>30</v>
      </c>
      <c r="C9" s="1" t="s">
        <v>31</v>
      </c>
      <c r="D9" s="1" t="s">
        <v>9</v>
      </c>
      <c r="E9" s="1" t="s">
        <v>32</v>
      </c>
      <c r="F9" s="1" t="s">
        <v>33</v>
      </c>
    </row>
    <row r="10" spans="1:6">
      <c r="A10" s="1">
        <v>7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"/>
  <sheetViews>
    <sheetView tabSelected="1" workbookViewId="0">
      <selection activeCell="I2" sqref="I2"/>
    </sheetView>
  </sheetViews>
  <sheetFormatPr baseColWidth="10" defaultColWidth="8.796875" defaultRowHeight="13.8"/>
  <cols>
    <col min="2" max="2" width="48.69921875" customWidth="1"/>
    <col min="4" max="4" width="21.19921875" customWidth="1"/>
    <col min="6" max="6" width="20" customWidth="1"/>
    <col min="8" max="24" width="16.8984375" customWidth="1"/>
  </cols>
  <sheetData>
    <row r="1" spans="1:24" ht="27.6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</row>
    <row r="2" spans="1:24" ht="27.6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/>
      <c r="I2" s="4"/>
      <c r="J2" s="4"/>
      <c r="K2" s="4" t="str">
        <f t="shared" ref="K2:K31" si="0">IF(I2="","",IF(I2=C2,"OK","ERROR"))</f>
        <v/>
      </c>
      <c r="L2" s="4"/>
      <c r="M2" s="4"/>
      <c r="N2" s="4"/>
      <c r="O2" s="4" t="str">
        <f t="shared" ref="O2:O31" si="1">IF(M2="","",IF(M2=C2,"OK","ERROR"))</f>
        <v/>
      </c>
      <c r="P2" s="4"/>
      <c r="Q2" s="4"/>
      <c r="R2" s="4"/>
      <c r="S2" s="4"/>
      <c r="T2" s="4" t="str">
        <f t="shared" ref="T2:T31" si="2">IF(R2="","",IF(R2=C2,"OK","ERROR"))</f>
        <v/>
      </c>
      <c r="U2" s="4"/>
      <c r="V2" s="4"/>
      <c r="W2" s="4"/>
      <c r="X2" s="4"/>
    </row>
    <row r="3" spans="1:24" ht="27.6">
      <c r="A3" s="4" t="s">
        <v>70</v>
      </c>
      <c r="B3" s="4" t="s">
        <v>71</v>
      </c>
      <c r="C3" s="4" t="s">
        <v>65</v>
      </c>
      <c r="D3" s="4" t="s">
        <v>72</v>
      </c>
      <c r="E3" s="4" t="s">
        <v>73</v>
      </c>
      <c r="F3" s="4" t="s">
        <v>68</v>
      </c>
      <c r="G3" s="4" t="s">
        <v>69</v>
      </c>
      <c r="H3" s="4"/>
      <c r="I3" s="4"/>
      <c r="J3" s="4"/>
      <c r="K3" s="4" t="str">
        <f t="shared" si="0"/>
        <v/>
      </c>
      <c r="L3" s="4"/>
      <c r="M3" s="4"/>
      <c r="N3" s="4"/>
      <c r="O3" s="4" t="str">
        <f t="shared" si="1"/>
        <v/>
      </c>
      <c r="P3" s="4"/>
      <c r="Q3" s="4"/>
      <c r="R3" s="4"/>
      <c r="S3" s="4"/>
      <c r="T3" s="4" t="str">
        <f t="shared" si="2"/>
        <v/>
      </c>
      <c r="U3" s="4"/>
      <c r="V3" s="4"/>
      <c r="W3" s="4"/>
      <c r="X3" s="4"/>
    </row>
    <row r="4" spans="1:24" ht="41.4">
      <c r="A4" s="4" t="s">
        <v>74</v>
      </c>
      <c r="B4" s="4" t="s">
        <v>75</v>
      </c>
      <c r="C4" s="4" t="s">
        <v>65</v>
      </c>
      <c r="D4" s="4" t="s">
        <v>76</v>
      </c>
      <c r="E4" s="4" t="s">
        <v>77</v>
      </c>
      <c r="F4" s="4" t="s">
        <v>78</v>
      </c>
      <c r="G4" s="4" t="s">
        <v>69</v>
      </c>
      <c r="H4" s="4"/>
      <c r="I4" s="4"/>
      <c r="J4" s="4"/>
      <c r="K4" s="4" t="str">
        <f t="shared" si="0"/>
        <v/>
      </c>
      <c r="L4" s="4"/>
      <c r="M4" s="4"/>
      <c r="N4" s="4"/>
      <c r="O4" s="4" t="str">
        <f t="shared" si="1"/>
        <v/>
      </c>
      <c r="P4" s="4"/>
      <c r="Q4" s="4"/>
      <c r="R4" s="4"/>
      <c r="S4" s="4"/>
      <c r="T4" s="4" t="str">
        <f t="shared" si="2"/>
        <v/>
      </c>
      <c r="U4" s="4"/>
      <c r="V4" s="4"/>
      <c r="W4" s="4"/>
      <c r="X4" s="4"/>
    </row>
    <row r="5" spans="1:24" ht="27.6">
      <c r="A5" s="4" t="s">
        <v>79</v>
      </c>
      <c r="B5" s="4" t="s">
        <v>80</v>
      </c>
      <c r="C5" s="4" t="s">
        <v>65</v>
      </c>
      <c r="D5" s="4" t="s">
        <v>81</v>
      </c>
      <c r="E5" s="4" t="s">
        <v>82</v>
      </c>
      <c r="F5" s="4" t="s">
        <v>83</v>
      </c>
      <c r="G5" s="4" t="s">
        <v>69</v>
      </c>
      <c r="H5" s="4"/>
      <c r="I5" s="4"/>
      <c r="J5" s="4"/>
      <c r="K5" s="4" t="str">
        <f t="shared" si="0"/>
        <v/>
      </c>
      <c r="L5" s="4"/>
      <c r="M5" s="4"/>
      <c r="N5" s="4"/>
      <c r="O5" s="4" t="str">
        <f t="shared" si="1"/>
        <v/>
      </c>
      <c r="P5" s="4"/>
      <c r="Q5" s="4"/>
      <c r="R5" s="4"/>
      <c r="S5" s="4"/>
      <c r="T5" s="4" t="str">
        <f t="shared" si="2"/>
        <v/>
      </c>
      <c r="U5" s="4"/>
      <c r="V5" s="4"/>
      <c r="W5" s="4"/>
      <c r="X5" s="4"/>
    </row>
    <row r="6" spans="1:24" ht="27.6">
      <c r="A6" s="4" t="s">
        <v>84</v>
      </c>
      <c r="B6" s="4" t="s">
        <v>85</v>
      </c>
      <c r="C6" s="4" t="s">
        <v>65</v>
      </c>
      <c r="D6" s="4" t="s">
        <v>86</v>
      </c>
      <c r="E6" s="4" t="s">
        <v>87</v>
      </c>
      <c r="F6" s="4" t="s">
        <v>88</v>
      </c>
      <c r="G6" s="4" t="s">
        <v>69</v>
      </c>
      <c r="H6" s="4"/>
      <c r="I6" s="4"/>
      <c r="J6" s="4"/>
      <c r="K6" s="4" t="str">
        <f t="shared" si="0"/>
        <v/>
      </c>
      <c r="L6" s="4"/>
      <c r="M6" s="4"/>
      <c r="N6" s="4"/>
      <c r="O6" s="4" t="str">
        <f t="shared" si="1"/>
        <v/>
      </c>
      <c r="P6" s="4"/>
      <c r="Q6" s="4"/>
      <c r="R6" s="4"/>
      <c r="S6" s="4"/>
      <c r="T6" s="4" t="str">
        <f t="shared" si="2"/>
        <v/>
      </c>
      <c r="U6" s="4"/>
      <c r="V6" s="4"/>
      <c r="W6" s="4"/>
      <c r="X6" s="4"/>
    </row>
    <row r="7" spans="1:24" ht="41.4">
      <c r="A7" s="4" t="s">
        <v>89</v>
      </c>
      <c r="B7" s="4" t="s">
        <v>90</v>
      </c>
      <c r="C7" s="4" t="s">
        <v>65</v>
      </c>
      <c r="D7" s="4" t="s">
        <v>91</v>
      </c>
      <c r="E7" s="4" t="s">
        <v>92</v>
      </c>
      <c r="F7" s="4" t="s">
        <v>93</v>
      </c>
      <c r="G7" s="4" t="s">
        <v>69</v>
      </c>
      <c r="H7" s="4"/>
      <c r="I7" s="4"/>
      <c r="J7" s="4"/>
      <c r="K7" s="4" t="str">
        <f t="shared" si="0"/>
        <v/>
      </c>
      <c r="L7" s="4"/>
      <c r="M7" s="4"/>
      <c r="N7" s="4"/>
      <c r="O7" s="4" t="str">
        <f t="shared" si="1"/>
        <v/>
      </c>
      <c r="P7" s="4"/>
      <c r="Q7" s="4"/>
      <c r="R7" s="4"/>
      <c r="S7" s="4"/>
      <c r="T7" s="4" t="str">
        <f t="shared" si="2"/>
        <v/>
      </c>
      <c r="U7" s="4"/>
      <c r="V7" s="4"/>
      <c r="W7" s="4"/>
      <c r="X7" s="4"/>
    </row>
    <row r="8" spans="1:24" ht="27.6">
      <c r="A8" s="4" t="s">
        <v>94</v>
      </c>
      <c r="B8" s="4" t="s">
        <v>95</v>
      </c>
      <c r="C8" s="4" t="s">
        <v>65</v>
      </c>
      <c r="D8" s="4" t="s">
        <v>96</v>
      </c>
      <c r="E8" s="4" t="s">
        <v>97</v>
      </c>
      <c r="F8" s="4" t="s">
        <v>98</v>
      </c>
      <c r="G8" s="4" t="s">
        <v>69</v>
      </c>
      <c r="H8" s="4"/>
      <c r="I8" s="4"/>
      <c r="J8" s="4"/>
      <c r="K8" s="4" t="str">
        <f t="shared" si="0"/>
        <v/>
      </c>
      <c r="L8" s="4"/>
      <c r="M8" s="4"/>
      <c r="N8" s="4"/>
      <c r="O8" s="4" t="str">
        <f t="shared" si="1"/>
        <v/>
      </c>
      <c r="P8" s="4"/>
      <c r="Q8" s="4"/>
      <c r="R8" s="4"/>
      <c r="S8" s="4"/>
      <c r="T8" s="4" t="str">
        <f t="shared" si="2"/>
        <v/>
      </c>
      <c r="U8" s="4"/>
      <c r="V8" s="4"/>
      <c r="W8" s="4"/>
      <c r="X8" s="4"/>
    </row>
    <row r="9" spans="1:24" ht="41.4">
      <c r="A9" s="4" t="s">
        <v>99</v>
      </c>
      <c r="B9" s="4" t="s">
        <v>100</v>
      </c>
      <c r="C9" s="4" t="s">
        <v>65</v>
      </c>
      <c r="D9" s="4" t="s">
        <v>101</v>
      </c>
      <c r="E9" s="4" t="s">
        <v>102</v>
      </c>
      <c r="F9" s="4" t="s">
        <v>103</v>
      </c>
      <c r="G9" s="4" t="s">
        <v>69</v>
      </c>
      <c r="H9" s="4"/>
      <c r="I9" s="4"/>
      <c r="J9" s="4"/>
      <c r="K9" s="4" t="str">
        <f t="shared" si="0"/>
        <v/>
      </c>
      <c r="L9" s="4"/>
      <c r="M9" s="4"/>
      <c r="N9" s="4"/>
      <c r="O9" s="4" t="str">
        <f t="shared" si="1"/>
        <v/>
      </c>
      <c r="P9" s="4"/>
      <c r="Q9" s="4"/>
      <c r="R9" s="4"/>
      <c r="S9" s="4"/>
      <c r="T9" s="4" t="str">
        <f t="shared" si="2"/>
        <v/>
      </c>
      <c r="U9" s="4"/>
      <c r="V9" s="4"/>
      <c r="W9" s="4"/>
      <c r="X9" s="4"/>
    </row>
    <row r="10" spans="1:24" ht="27.6">
      <c r="A10" s="4" t="s">
        <v>104</v>
      </c>
      <c r="B10" s="4" t="s">
        <v>105</v>
      </c>
      <c r="C10" s="4" t="s">
        <v>65</v>
      </c>
      <c r="D10" s="4" t="s">
        <v>106</v>
      </c>
      <c r="E10" s="4" t="s">
        <v>107</v>
      </c>
      <c r="F10" s="4" t="s">
        <v>108</v>
      </c>
      <c r="G10" s="4" t="s">
        <v>69</v>
      </c>
      <c r="H10" s="4"/>
      <c r="I10" s="4"/>
      <c r="J10" s="4"/>
      <c r="K10" s="4" t="str">
        <f t="shared" si="0"/>
        <v/>
      </c>
      <c r="L10" s="4"/>
      <c r="M10" s="4"/>
      <c r="N10" s="4"/>
      <c r="O10" s="4" t="str">
        <f t="shared" si="1"/>
        <v/>
      </c>
      <c r="P10" s="4"/>
      <c r="Q10" s="4"/>
      <c r="R10" s="4"/>
      <c r="S10" s="4"/>
      <c r="T10" s="4" t="str">
        <f t="shared" si="2"/>
        <v/>
      </c>
      <c r="U10" s="4"/>
      <c r="V10" s="4"/>
      <c r="W10" s="4"/>
      <c r="X10" s="4"/>
    </row>
    <row r="11" spans="1:24" ht="55.2">
      <c r="A11" s="4" t="s">
        <v>109</v>
      </c>
      <c r="B11" s="4" t="s">
        <v>110</v>
      </c>
      <c r="C11" s="4" t="s">
        <v>65</v>
      </c>
      <c r="D11" s="4" t="s">
        <v>111</v>
      </c>
      <c r="E11" s="4" t="s">
        <v>112</v>
      </c>
      <c r="F11" s="4" t="s">
        <v>108</v>
      </c>
      <c r="G11" s="4" t="s">
        <v>69</v>
      </c>
      <c r="H11" s="4"/>
      <c r="I11" s="4"/>
      <c r="J11" s="4"/>
      <c r="K11" s="4" t="str">
        <f t="shared" si="0"/>
        <v/>
      </c>
      <c r="L11" s="4"/>
      <c r="M11" s="4"/>
      <c r="N11" s="4"/>
      <c r="O11" s="4" t="str">
        <f t="shared" si="1"/>
        <v/>
      </c>
      <c r="P11" s="4"/>
      <c r="Q11" s="4"/>
      <c r="R11" s="4"/>
      <c r="S11" s="4"/>
      <c r="T11" s="4" t="str">
        <f t="shared" si="2"/>
        <v/>
      </c>
      <c r="U11" s="4"/>
      <c r="V11" s="4"/>
      <c r="W11" s="4"/>
      <c r="X11" s="4"/>
    </row>
    <row r="12" spans="1:24" ht="41.4">
      <c r="A12" s="4" t="s">
        <v>113</v>
      </c>
      <c r="B12" s="4" t="s">
        <v>114</v>
      </c>
      <c r="C12" s="4" t="s">
        <v>65</v>
      </c>
      <c r="D12" s="4" t="s">
        <v>115</v>
      </c>
      <c r="E12" s="4" t="s">
        <v>116</v>
      </c>
      <c r="F12" s="4" t="s">
        <v>108</v>
      </c>
      <c r="G12" s="4" t="s">
        <v>69</v>
      </c>
      <c r="H12" s="4"/>
      <c r="I12" s="4"/>
      <c r="J12" s="4"/>
      <c r="K12" s="4" t="str">
        <f t="shared" si="0"/>
        <v/>
      </c>
      <c r="L12" s="4"/>
      <c r="M12" s="4"/>
      <c r="N12" s="4"/>
      <c r="O12" s="4" t="str">
        <f t="shared" si="1"/>
        <v/>
      </c>
      <c r="P12" s="4"/>
      <c r="Q12" s="4"/>
      <c r="R12" s="4"/>
      <c r="S12" s="4"/>
      <c r="T12" s="4" t="str">
        <f t="shared" si="2"/>
        <v/>
      </c>
      <c r="U12" s="4"/>
      <c r="V12" s="4"/>
      <c r="W12" s="4"/>
      <c r="X12" s="4"/>
    </row>
    <row r="13" spans="1:24" ht="41.4">
      <c r="A13" s="4" t="s">
        <v>117</v>
      </c>
      <c r="B13" s="4" t="s">
        <v>118</v>
      </c>
      <c r="C13" s="4" t="s">
        <v>65</v>
      </c>
      <c r="D13" s="4" t="s">
        <v>119</v>
      </c>
      <c r="E13" s="4" t="s">
        <v>120</v>
      </c>
      <c r="F13" s="4" t="s">
        <v>121</v>
      </c>
      <c r="G13" s="4" t="s">
        <v>69</v>
      </c>
      <c r="H13" s="4"/>
      <c r="I13" s="4"/>
      <c r="J13" s="4"/>
      <c r="K13" s="4" t="str">
        <f t="shared" si="0"/>
        <v/>
      </c>
      <c r="L13" s="4"/>
      <c r="M13" s="4"/>
      <c r="N13" s="4"/>
      <c r="O13" s="4" t="str">
        <f t="shared" si="1"/>
        <v/>
      </c>
      <c r="P13" s="4"/>
      <c r="Q13" s="4"/>
      <c r="R13" s="4"/>
      <c r="S13" s="4"/>
      <c r="T13" s="4" t="str">
        <f t="shared" si="2"/>
        <v/>
      </c>
      <c r="U13" s="4"/>
      <c r="V13" s="4"/>
      <c r="W13" s="4"/>
      <c r="X13" s="4"/>
    </row>
    <row r="14" spans="1:24" ht="27.6">
      <c r="A14" s="4" t="s">
        <v>122</v>
      </c>
      <c r="B14" s="4" t="s">
        <v>123</v>
      </c>
      <c r="C14" s="4" t="s">
        <v>65</v>
      </c>
      <c r="D14" s="4" t="s">
        <v>124</v>
      </c>
      <c r="E14" s="4" t="s">
        <v>125</v>
      </c>
      <c r="F14" s="4" t="s">
        <v>126</v>
      </c>
      <c r="G14" s="4" t="s">
        <v>69</v>
      </c>
      <c r="H14" s="4"/>
      <c r="I14" s="4"/>
      <c r="J14" s="4"/>
      <c r="K14" s="4" t="str">
        <f t="shared" si="0"/>
        <v/>
      </c>
      <c r="L14" s="4"/>
      <c r="M14" s="4"/>
      <c r="N14" s="4"/>
      <c r="O14" s="4" t="str">
        <f t="shared" si="1"/>
        <v/>
      </c>
      <c r="P14" s="4"/>
      <c r="Q14" s="4"/>
      <c r="R14" s="4"/>
      <c r="S14" s="4"/>
      <c r="T14" s="4" t="str">
        <f t="shared" si="2"/>
        <v/>
      </c>
      <c r="U14" s="4"/>
      <c r="V14" s="4"/>
      <c r="W14" s="4"/>
      <c r="X14" s="4"/>
    </row>
    <row r="15" spans="1:24" ht="27.6">
      <c r="A15" s="4" t="s">
        <v>127</v>
      </c>
      <c r="B15" s="4" t="s">
        <v>128</v>
      </c>
      <c r="C15" s="4" t="s">
        <v>65</v>
      </c>
      <c r="D15" s="4" t="s">
        <v>129</v>
      </c>
      <c r="E15" s="4" t="s">
        <v>130</v>
      </c>
      <c r="F15" s="4" t="s">
        <v>131</v>
      </c>
      <c r="G15" s="4" t="s">
        <v>69</v>
      </c>
      <c r="H15" s="4"/>
      <c r="I15" s="4"/>
      <c r="J15" s="4"/>
      <c r="K15" s="4" t="str">
        <f t="shared" si="0"/>
        <v/>
      </c>
      <c r="L15" s="4"/>
      <c r="M15" s="4"/>
      <c r="N15" s="4"/>
      <c r="O15" s="4" t="str">
        <f t="shared" si="1"/>
        <v/>
      </c>
      <c r="P15" s="4"/>
      <c r="Q15" s="4"/>
      <c r="R15" s="4"/>
      <c r="S15" s="4"/>
      <c r="T15" s="4" t="str">
        <f t="shared" si="2"/>
        <v/>
      </c>
      <c r="U15" s="4"/>
      <c r="V15" s="4"/>
      <c r="W15" s="4"/>
      <c r="X15" s="4"/>
    </row>
    <row r="16" spans="1:24" ht="27.6">
      <c r="A16" s="4" t="s">
        <v>132</v>
      </c>
      <c r="B16" s="4" t="s">
        <v>133</v>
      </c>
      <c r="C16" s="4" t="s">
        <v>65</v>
      </c>
      <c r="D16" s="4" t="s">
        <v>134</v>
      </c>
      <c r="E16" s="4" t="s">
        <v>135</v>
      </c>
      <c r="F16" s="4" t="s">
        <v>78</v>
      </c>
      <c r="G16" s="4" t="s">
        <v>69</v>
      </c>
      <c r="H16" s="4"/>
      <c r="I16" s="4"/>
      <c r="J16" s="4"/>
      <c r="K16" s="4" t="str">
        <f t="shared" si="0"/>
        <v/>
      </c>
      <c r="L16" s="4"/>
      <c r="M16" s="4"/>
      <c r="N16" s="4"/>
      <c r="O16" s="4" t="str">
        <f t="shared" si="1"/>
        <v/>
      </c>
      <c r="P16" s="4"/>
      <c r="Q16" s="4"/>
      <c r="R16" s="4"/>
      <c r="S16" s="4"/>
      <c r="T16" s="4" t="str">
        <f t="shared" si="2"/>
        <v/>
      </c>
      <c r="U16" s="4"/>
      <c r="V16" s="4"/>
      <c r="W16" s="4"/>
      <c r="X16" s="4"/>
    </row>
    <row r="17" spans="1:24" ht="41.4">
      <c r="A17" s="4" t="s">
        <v>136</v>
      </c>
      <c r="B17" s="4" t="s">
        <v>137</v>
      </c>
      <c r="C17" s="4" t="s">
        <v>138</v>
      </c>
      <c r="D17" s="4" t="s">
        <v>139</v>
      </c>
      <c r="E17" s="4" t="s">
        <v>140</v>
      </c>
      <c r="F17" s="4" t="s">
        <v>141</v>
      </c>
      <c r="G17" s="4" t="s">
        <v>69</v>
      </c>
      <c r="H17" s="4"/>
      <c r="I17" s="4"/>
      <c r="J17" s="4"/>
      <c r="K17" s="4" t="str">
        <f t="shared" si="0"/>
        <v/>
      </c>
      <c r="L17" s="4"/>
      <c r="M17" s="4"/>
      <c r="N17" s="4"/>
      <c r="O17" s="4" t="str">
        <f t="shared" si="1"/>
        <v/>
      </c>
      <c r="P17" s="4"/>
      <c r="Q17" s="4"/>
      <c r="R17" s="4"/>
      <c r="S17" s="4"/>
      <c r="T17" s="4" t="str">
        <f t="shared" si="2"/>
        <v/>
      </c>
      <c r="U17" s="4"/>
      <c r="V17" s="4"/>
      <c r="W17" s="4"/>
      <c r="X17" s="4"/>
    </row>
    <row r="18" spans="1:24" ht="41.4">
      <c r="A18" s="4" t="s">
        <v>142</v>
      </c>
      <c r="B18" s="4" t="s">
        <v>143</v>
      </c>
      <c r="C18" s="4" t="s">
        <v>138</v>
      </c>
      <c r="D18" s="4" t="s">
        <v>144</v>
      </c>
      <c r="E18" s="4" t="s">
        <v>145</v>
      </c>
      <c r="F18" s="4" t="s">
        <v>146</v>
      </c>
      <c r="G18" s="4" t="s">
        <v>69</v>
      </c>
      <c r="H18" s="4"/>
      <c r="I18" s="4"/>
      <c r="J18" s="4"/>
      <c r="K18" s="4" t="str">
        <f t="shared" si="0"/>
        <v/>
      </c>
      <c r="L18" s="4"/>
      <c r="M18" s="4"/>
      <c r="N18" s="4"/>
      <c r="O18" s="4" t="str">
        <f t="shared" si="1"/>
        <v/>
      </c>
      <c r="P18" s="4"/>
      <c r="Q18" s="4"/>
      <c r="R18" s="4"/>
      <c r="S18" s="4"/>
      <c r="T18" s="4" t="str">
        <f t="shared" si="2"/>
        <v/>
      </c>
      <c r="U18" s="4"/>
      <c r="V18" s="4"/>
      <c r="W18" s="4"/>
      <c r="X18" s="4"/>
    </row>
    <row r="19" spans="1:24" ht="41.4">
      <c r="A19" s="4" t="s">
        <v>147</v>
      </c>
      <c r="B19" s="4" t="s">
        <v>148</v>
      </c>
      <c r="C19" s="4" t="s">
        <v>138</v>
      </c>
      <c r="D19" s="4" t="s">
        <v>149</v>
      </c>
      <c r="E19" s="4" t="s">
        <v>150</v>
      </c>
      <c r="F19" s="4" t="s">
        <v>108</v>
      </c>
      <c r="G19" s="4" t="s">
        <v>69</v>
      </c>
      <c r="H19" s="4"/>
      <c r="I19" s="4"/>
      <c r="J19" s="4"/>
      <c r="K19" s="4" t="str">
        <f t="shared" si="0"/>
        <v/>
      </c>
      <c r="L19" s="4"/>
      <c r="M19" s="4"/>
      <c r="N19" s="4"/>
      <c r="O19" s="4" t="str">
        <f t="shared" si="1"/>
        <v/>
      </c>
      <c r="P19" s="4"/>
      <c r="Q19" s="4"/>
      <c r="R19" s="4"/>
      <c r="S19" s="4"/>
      <c r="T19" s="4" t="str">
        <f t="shared" si="2"/>
        <v/>
      </c>
      <c r="U19" s="4"/>
      <c r="V19" s="4"/>
      <c r="W19" s="4"/>
      <c r="X19" s="4"/>
    </row>
    <row r="20" spans="1:24" ht="41.4">
      <c r="A20" s="4" t="s">
        <v>151</v>
      </c>
      <c r="B20" s="4" t="s">
        <v>152</v>
      </c>
      <c r="C20" s="4" t="s">
        <v>138</v>
      </c>
      <c r="D20" s="4" t="s">
        <v>153</v>
      </c>
      <c r="E20" s="4" t="s">
        <v>154</v>
      </c>
      <c r="F20" s="4" t="s">
        <v>68</v>
      </c>
      <c r="G20" s="4" t="s">
        <v>69</v>
      </c>
      <c r="H20" s="4"/>
      <c r="I20" s="4"/>
      <c r="J20" s="4"/>
      <c r="K20" s="4" t="str">
        <f t="shared" si="0"/>
        <v/>
      </c>
      <c r="L20" s="4"/>
      <c r="M20" s="4"/>
      <c r="N20" s="4"/>
      <c r="O20" s="4" t="str">
        <f t="shared" si="1"/>
        <v/>
      </c>
      <c r="P20" s="4"/>
      <c r="Q20" s="4"/>
      <c r="R20" s="4"/>
      <c r="S20" s="4"/>
      <c r="T20" s="4" t="str">
        <f t="shared" si="2"/>
        <v/>
      </c>
      <c r="U20" s="4"/>
      <c r="V20" s="4"/>
      <c r="W20" s="4"/>
      <c r="X20" s="4"/>
    </row>
    <row r="21" spans="1:24" ht="41.4">
      <c r="A21" s="4" t="s">
        <v>155</v>
      </c>
      <c r="B21" s="4" t="s">
        <v>156</v>
      </c>
      <c r="C21" s="4" t="s">
        <v>138</v>
      </c>
      <c r="D21" s="4" t="s">
        <v>157</v>
      </c>
      <c r="E21" s="4" t="s">
        <v>158</v>
      </c>
      <c r="F21" s="4" t="s">
        <v>68</v>
      </c>
      <c r="G21" s="4" t="s">
        <v>69</v>
      </c>
      <c r="H21" s="4"/>
      <c r="I21" s="4"/>
      <c r="J21" s="4"/>
      <c r="K21" s="4" t="str">
        <f t="shared" si="0"/>
        <v/>
      </c>
      <c r="L21" s="4"/>
      <c r="M21" s="4"/>
      <c r="N21" s="4"/>
      <c r="O21" s="4" t="str">
        <f t="shared" si="1"/>
        <v/>
      </c>
      <c r="P21" s="4"/>
      <c r="Q21" s="4"/>
      <c r="R21" s="4"/>
      <c r="S21" s="4"/>
      <c r="T21" s="4" t="str">
        <f t="shared" si="2"/>
        <v/>
      </c>
      <c r="U21" s="4"/>
      <c r="V21" s="4"/>
      <c r="W21" s="4"/>
      <c r="X21" s="4"/>
    </row>
    <row r="22" spans="1:24" ht="41.4">
      <c r="A22" s="4" t="s">
        <v>159</v>
      </c>
      <c r="B22" s="4" t="s">
        <v>160</v>
      </c>
      <c r="C22" s="4" t="s">
        <v>138</v>
      </c>
      <c r="D22" s="4" t="s">
        <v>161</v>
      </c>
      <c r="E22" s="4" t="s">
        <v>162</v>
      </c>
      <c r="F22" s="4" t="s">
        <v>163</v>
      </c>
      <c r="G22" s="4" t="s">
        <v>69</v>
      </c>
      <c r="H22" s="4"/>
      <c r="I22" s="4"/>
      <c r="J22" s="4"/>
      <c r="K22" s="4" t="str">
        <f t="shared" si="0"/>
        <v/>
      </c>
      <c r="L22" s="4"/>
      <c r="M22" s="4"/>
      <c r="N22" s="4"/>
      <c r="O22" s="4" t="str">
        <f t="shared" si="1"/>
        <v/>
      </c>
      <c r="P22" s="4"/>
      <c r="Q22" s="4"/>
      <c r="R22" s="4"/>
      <c r="S22" s="4"/>
      <c r="T22" s="4" t="str">
        <f t="shared" si="2"/>
        <v/>
      </c>
      <c r="U22" s="4"/>
      <c r="V22" s="4"/>
      <c r="W22" s="4"/>
      <c r="X22" s="4"/>
    </row>
    <row r="23" spans="1:24" ht="41.4">
      <c r="A23" s="4" t="s">
        <v>164</v>
      </c>
      <c r="B23" s="4" t="s">
        <v>165</v>
      </c>
      <c r="C23" s="4" t="s">
        <v>138</v>
      </c>
      <c r="D23" s="4" t="s">
        <v>166</v>
      </c>
      <c r="E23" s="4" t="s">
        <v>167</v>
      </c>
      <c r="F23" s="4" t="s">
        <v>163</v>
      </c>
      <c r="G23" s="4" t="s">
        <v>69</v>
      </c>
      <c r="H23" s="4"/>
      <c r="I23" s="4"/>
      <c r="J23" s="4"/>
      <c r="K23" s="4" t="str">
        <f t="shared" si="0"/>
        <v/>
      </c>
      <c r="L23" s="4"/>
      <c r="M23" s="4"/>
      <c r="N23" s="4"/>
      <c r="O23" s="4" t="str">
        <f t="shared" si="1"/>
        <v/>
      </c>
      <c r="P23" s="4"/>
      <c r="Q23" s="4"/>
      <c r="R23" s="4"/>
      <c r="S23" s="4"/>
      <c r="T23" s="4" t="str">
        <f t="shared" si="2"/>
        <v/>
      </c>
      <c r="U23" s="4"/>
      <c r="V23" s="4"/>
      <c r="W23" s="4"/>
      <c r="X23" s="4"/>
    </row>
    <row r="24" spans="1:24" ht="41.4">
      <c r="A24" s="4" t="s">
        <v>168</v>
      </c>
      <c r="B24" s="4" t="s">
        <v>169</v>
      </c>
      <c r="C24" s="4" t="s">
        <v>138</v>
      </c>
      <c r="D24" s="4" t="s">
        <v>170</v>
      </c>
      <c r="E24" s="4" t="s">
        <v>171</v>
      </c>
      <c r="F24" s="4" t="s">
        <v>78</v>
      </c>
      <c r="G24" s="4" t="s">
        <v>69</v>
      </c>
      <c r="H24" s="4"/>
      <c r="I24" s="4"/>
      <c r="J24" s="4"/>
      <c r="K24" s="4" t="str">
        <f t="shared" si="0"/>
        <v/>
      </c>
      <c r="L24" s="4"/>
      <c r="M24" s="4"/>
      <c r="N24" s="4"/>
      <c r="O24" s="4" t="str">
        <f t="shared" si="1"/>
        <v/>
      </c>
      <c r="P24" s="4"/>
      <c r="Q24" s="4"/>
      <c r="R24" s="4"/>
      <c r="S24" s="4"/>
      <c r="T24" s="4" t="str">
        <f t="shared" si="2"/>
        <v/>
      </c>
      <c r="U24" s="4"/>
      <c r="V24" s="4"/>
      <c r="W24" s="4"/>
      <c r="X24" s="4"/>
    </row>
    <row r="25" spans="1:24" ht="41.4">
      <c r="A25" s="4" t="s">
        <v>172</v>
      </c>
      <c r="B25" s="4" t="s">
        <v>173</v>
      </c>
      <c r="C25" s="4" t="s">
        <v>138</v>
      </c>
      <c r="D25" s="4" t="s">
        <v>174</v>
      </c>
      <c r="E25" s="4" t="s">
        <v>175</v>
      </c>
      <c r="F25" s="4" t="s">
        <v>103</v>
      </c>
      <c r="G25" s="4" t="s">
        <v>69</v>
      </c>
      <c r="H25" s="4"/>
      <c r="I25" s="4"/>
      <c r="J25" s="4"/>
      <c r="K25" s="4" t="str">
        <f t="shared" si="0"/>
        <v/>
      </c>
      <c r="L25" s="4"/>
      <c r="M25" s="4"/>
      <c r="N25" s="4"/>
      <c r="O25" s="4" t="str">
        <f t="shared" si="1"/>
        <v/>
      </c>
      <c r="P25" s="4"/>
      <c r="Q25" s="4"/>
      <c r="R25" s="4"/>
      <c r="S25" s="4"/>
      <c r="T25" s="4" t="str">
        <f t="shared" si="2"/>
        <v/>
      </c>
      <c r="U25" s="4"/>
      <c r="V25" s="4"/>
      <c r="W25" s="4"/>
      <c r="X25" s="4"/>
    </row>
    <row r="26" spans="1:24" ht="55.2">
      <c r="A26" s="4" t="s">
        <v>176</v>
      </c>
      <c r="B26" s="4" t="s">
        <v>177</v>
      </c>
      <c r="C26" s="4" t="s">
        <v>138</v>
      </c>
      <c r="D26" s="4" t="s">
        <v>178</v>
      </c>
      <c r="E26" s="4" t="s">
        <v>179</v>
      </c>
      <c r="F26" s="4" t="s">
        <v>108</v>
      </c>
      <c r="G26" s="4" t="s">
        <v>69</v>
      </c>
      <c r="H26" s="4"/>
      <c r="I26" s="4"/>
      <c r="J26" s="4"/>
      <c r="K26" s="4" t="str">
        <f t="shared" si="0"/>
        <v/>
      </c>
      <c r="L26" s="4"/>
      <c r="M26" s="4"/>
      <c r="N26" s="4"/>
      <c r="O26" s="4" t="str">
        <f t="shared" si="1"/>
        <v/>
      </c>
      <c r="P26" s="4"/>
      <c r="Q26" s="4"/>
      <c r="R26" s="4"/>
      <c r="S26" s="4"/>
      <c r="T26" s="4" t="str">
        <f t="shared" si="2"/>
        <v/>
      </c>
      <c r="U26" s="4"/>
      <c r="V26" s="4"/>
      <c r="W26" s="4"/>
      <c r="X26" s="4"/>
    </row>
    <row r="27" spans="1:24" ht="55.2">
      <c r="A27" s="4" t="s">
        <v>180</v>
      </c>
      <c r="B27" s="4" t="s">
        <v>181</v>
      </c>
      <c r="C27" s="4" t="s">
        <v>138</v>
      </c>
      <c r="D27" s="4" t="s">
        <v>182</v>
      </c>
      <c r="E27" s="4" t="s">
        <v>183</v>
      </c>
      <c r="F27" s="4" t="s">
        <v>68</v>
      </c>
      <c r="G27" s="4" t="s">
        <v>69</v>
      </c>
      <c r="H27" s="4"/>
      <c r="I27" s="4"/>
      <c r="J27" s="4"/>
      <c r="K27" s="4" t="str">
        <f t="shared" si="0"/>
        <v/>
      </c>
      <c r="L27" s="4"/>
      <c r="M27" s="4"/>
      <c r="N27" s="4"/>
      <c r="O27" s="4" t="str">
        <f t="shared" si="1"/>
        <v/>
      </c>
      <c r="P27" s="4"/>
      <c r="Q27" s="4"/>
      <c r="R27" s="4"/>
      <c r="S27" s="4"/>
      <c r="T27" s="4" t="str">
        <f t="shared" si="2"/>
        <v/>
      </c>
      <c r="U27" s="4"/>
      <c r="V27" s="4"/>
      <c r="W27" s="4"/>
      <c r="X27" s="4"/>
    </row>
    <row r="28" spans="1:24" ht="41.4">
      <c r="A28" s="4" t="s">
        <v>184</v>
      </c>
      <c r="B28" s="4" t="s">
        <v>185</v>
      </c>
      <c r="C28" s="4" t="s">
        <v>138</v>
      </c>
      <c r="D28" s="4" t="s">
        <v>186</v>
      </c>
      <c r="E28" s="4" t="s">
        <v>187</v>
      </c>
      <c r="F28" s="4" t="s">
        <v>163</v>
      </c>
      <c r="G28" s="4" t="s">
        <v>69</v>
      </c>
      <c r="H28" s="4"/>
      <c r="I28" s="4"/>
      <c r="J28" s="4"/>
      <c r="K28" s="4" t="str">
        <f t="shared" si="0"/>
        <v/>
      </c>
      <c r="L28" s="4"/>
      <c r="M28" s="4"/>
      <c r="N28" s="4"/>
      <c r="O28" s="4" t="str">
        <f t="shared" si="1"/>
        <v/>
      </c>
      <c r="P28" s="4"/>
      <c r="Q28" s="4"/>
      <c r="R28" s="4"/>
      <c r="S28" s="4"/>
      <c r="T28" s="4" t="str">
        <f t="shared" si="2"/>
        <v/>
      </c>
      <c r="U28" s="4"/>
      <c r="V28" s="4"/>
      <c r="W28" s="4"/>
      <c r="X28" s="4"/>
    </row>
    <row r="29" spans="1:24" ht="41.4">
      <c r="A29" s="4" t="s">
        <v>188</v>
      </c>
      <c r="B29" s="4" t="s">
        <v>189</v>
      </c>
      <c r="C29" s="4" t="s">
        <v>138</v>
      </c>
      <c r="D29" s="4" t="s">
        <v>190</v>
      </c>
      <c r="E29" s="4" t="s">
        <v>191</v>
      </c>
      <c r="F29" s="4" t="s">
        <v>78</v>
      </c>
      <c r="G29" s="4" t="s">
        <v>69</v>
      </c>
      <c r="H29" s="4"/>
      <c r="I29" s="4"/>
      <c r="J29" s="4"/>
      <c r="K29" s="4" t="str">
        <f t="shared" si="0"/>
        <v/>
      </c>
      <c r="L29" s="4"/>
      <c r="M29" s="4"/>
      <c r="N29" s="4"/>
      <c r="O29" s="4" t="str">
        <f t="shared" si="1"/>
        <v/>
      </c>
      <c r="P29" s="4"/>
      <c r="Q29" s="4"/>
      <c r="R29" s="4"/>
      <c r="S29" s="4"/>
      <c r="T29" s="4" t="str">
        <f t="shared" si="2"/>
        <v/>
      </c>
      <c r="U29" s="4"/>
      <c r="V29" s="4"/>
      <c r="W29" s="4"/>
      <c r="X29" s="4"/>
    </row>
    <row r="30" spans="1:24" ht="41.4">
      <c r="A30" s="4" t="s">
        <v>192</v>
      </c>
      <c r="B30" s="4" t="s">
        <v>193</v>
      </c>
      <c r="C30" s="4" t="s">
        <v>138</v>
      </c>
      <c r="D30" s="4" t="s">
        <v>194</v>
      </c>
      <c r="E30" s="4" t="s">
        <v>195</v>
      </c>
      <c r="F30" s="4" t="s">
        <v>196</v>
      </c>
      <c r="G30" s="4" t="s">
        <v>69</v>
      </c>
      <c r="H30" s="4"/>
      <c r="I30" s="4"/>
      <c r="J30" s="4"/>
      <c r="K30" s="4" t="str">
        <f t="shared" si="0"/>
        <v/>
      </c>
      <c r="L30" s="4"/>
      <c r="M30" s="4"/>
      <c r="N30" s="4"/>
      <c r="O30" s="4" t="str">
        <f t="shared" si="1"/>
        <v/>
      </c>
      <c r="P30" s="4"/>
      <c r="Q30" s="4"/>
      <c r="R30" s="4"/>
      <c r="S30" s="4"/>
      <c r="T30" s="4" t="str">
        <f t="shared" si="2"/>
        <v/>
      </c>
      <c r="U30" s="4"/>
      <c r="V30" s="4"/>
      <c r="W30" s="4"/>
      <c r="X30" s="4"/>
    </row>
    <row r="31" spans="1:24" ht="41.4">
      <c r="A31" s="4" t="s">
        <v>197</v>
      </c>
      <c r="B31" s="4" t="s">
        <v>198</v>
      </c>
      <c r="C31" s="4" t="s">
        <v>138</v>
      </c>
      <c r="D31" s="4" t="s">
        <v>199</v>
      </c>
      <c r="E31" s="4" t="s">
        <v>135</v>
      </c>
      <c r="F31" s="4" t="s">
        <v>108</v>
      </c>
      <c r="G31" s="4" t="s">
        <v>69</v>
      </c>
      <c r="H31" s="4"/>
      <c r="I31" s="4"/>
      <c r="J31" s="4"/>
      <c r="K31" s="4" t="str">
        <f t="shared" si="0"/>
        <v/>
      </c>
      <c r="L31" s="4"/>
      <c r="M31" s="4"/>
      <c r="N31" s="4"/>
      <c r="O31" s="4" t="str">
        <f t="shared" si="1"/>
        <v/>
      </c>
      <c r="P31" s="4"/>
      <c r="Q31" s="4"/>
      <c r="R31" s="4"/>
      <c r="S31" s="4"/>
      <c r="T31" s="4" t="str">
        <f t="shared" si="2"/>
        <v/>
      </c>
      <c r="U31" s="4"/>
      <c r="V31" s="4"/>
      <c r="W31" s="4"/>
      <c r="X31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796875" defaultRowHeight="13.8"/>
  <cols>
    <col min="1" max="1" width="47.5" customWidth="1"/>
    <col min="2" max="2" width="6.3984375" customWidth="1"/>
    <col min="3" max="3" width="10.3984375" customWidth="1"/>
    <col min="4" max="4" width="11.69921875" customWidth="1"/>
  </cols>
  <sheetData>
    <row r="1" spans="1:6" ht="21">
      <c r="A1" s="8" t="s">
        <v>200</v>
      </c>
      <c r="B1" s="9"/>
      <c r="C1" s="9"/>
      <c r="D1" s="9"/>
      <c r="E1" s="9"/>
      <c r="F1" s="9"/>
    </row>
    <row r="3" spans="1:6">
      <c r="A3" s="2" t="s">
        <v>201</v>
      </c>
      <c r="B3" s="2" t="s">
        <v>202</v>
      </c>
      <c r="C3" s="2" t="s">
        <v>24</v>
      </c>
      <c r="D3" s="2" t="s">
        <v>203</v>
      </c>
    </row>
    <row r="4" spans="1:6">
      <c r="A4" s="1" t="s">
        <v>204</v>
      </c>
      <c r="B4" s="1">
        <f>COUNTIF(Pruebas!I2:I31,"Venomous")+COUNTIF(Pruebas!I2:I31,"Non Venomous")</f>
        <v>0</v>
      </c>
      <c r="C4" s="1">
        <f>COUNTIF(Pruebas!M2:M31,"Venomous")+COUNTIF(Pruebas!M2:M31,"Non Venomous")</f>
        <v>0</v>
      </c>
      <c r="D4" s="1">
        <f>COUNTIF(Pruebas!R2:R31,"Venomous")+COUNTIF(Pruebas!R2:R31,"Non Venomous")</f>
        <v>0</v>
      </c>
    </row>
    <row r="5" spans="1:6">
      <c r="A5" s="1" t="s">
        <v>205</v>
      </c>
      <c r="B5" s="1">
        <f>COUNTIF(Pruebas!K2:K31,"OK")</f>
        <v>0</v>
      </c>
      <c r="C5" s="1">
        <f>COUNTIF(Pruebas!O2:O31,"OK")</f>
        <v>0</v>
      </c>
      <c r="D5" s="1">
        <f>COUNTIF(Pruebas!T2:T31,"OK")</f>
        <v>0</v>
      </c>
    </row>
    <row r="6" spans="1:6">
      <c r="A6" s="1" t="s">
        <v>206</v>
      </c>
      <c r="B6" s="1">
        <f>COUNTIF(Pruebas!K2:K31,"ERROR")</f>
        <v>0</v>
      </c>
      <c r="C6" s="1">
        <f>COUNTIF(Pruebas!O2:O31,"ERROR")</f>
        <v>0</v>
      </c>
      <c r="D6" s="1">
        <f>COUNTIF(Pruebas!T2:T31,"ERROR")</f>
        <v>0</v>
      </c>
    </row>
    <row r="7" spans="1:6">
      <c r="A7" s="1" t="s">
        <v>207</v>
      </c>
      <c r="B7" s="5" t="str">
        <f>IF(B4=0,"",B5/B4)</f>
        <v/>
      </c>
      <c r="C7" s="5" t="str">
        <f>IF(C4=0,"",C5/C4)</f>
        <v/>
      </c>
      <c r="D7" s="5" t="str">
        <f>IF(D4=0,"",D5/D4)</f>
        <v/>
      </c>
    </row>
    <row r="8" spans="1:6">
      <c r="A8" s="1" t="s">
        <v>208</v>
      </c>
      <c r="B8" s="1">
        <f>COUNTIFS(Pruebas!C2:C31,"Venomous",Pruebas!I2:I31,"Non Venomous")</f>
        <v>0</v>
      </c>
      <c r="C8" s="1">
        <f>COUNTIFS(Pruebas!C2:C31,"Venomous",Pruebas!M2:M31,"Non Venomous")</f>
        <v>0</v>
      </c>
      <c r="D8" s="1">
        <f>COUNTIFS(Pruebas!C2:C31,"Venomous",Pruebas!R2:R31,"Non Venomous")</f>
        <v>0</v>
      </c>
    </row>
    <row r="9" spans="1:6">
      <c r="A9" s="1" t="s">
        <v>209</v>
      </c>
      <c r="B9" s="1">
        <f>COUNTIFS(Pruebas!C2:C31,"Non Venomous",Pruebas!I2:I31,"Venomous")</f>
        <v>0</v>
      </c>
      <c r="C9" s="1">
        <f>COUNTIFS(Pruebas!C2:C31,"Non Venomous",Pruebas!M2:M31,"Venomous")</f>
        <v>0</v>
      </c>
      <c r="D9" s="1">
        <f>COUNTIFS(Pruebas!C2:C31,"Non Venomous",Pruebas!R2:R31,"Venomous")</f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Pruebas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 vargas cordoba</cp:lastModifiedBy>
  <dcterms:modified xsi:type="dcterms:W3CDTF">2026-06-03T16:52:22Z</dcterms:modified>
</cp:coreProperties>
</file>